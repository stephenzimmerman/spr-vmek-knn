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tandardization Table" sheetId="1" state="visible" r:id="rId1"/>
    <sheet xmlns:r="http://schemas.openxmlformats.org/officeDocument/2006/relationships" name="Kernel Reference" sheetId="2" state="visible" r:id="rId2"/>
    <sheet xmlns:r="http://schemas.openxmlformats.org/officeDocument/2006/relationships" name="Methodolog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\+0.0000;\-0.0000"/>
    <numFmt numFmtId="167" formatCode="\+0.00&quot;%&quot;;\-0.00&quot;%&quot;"/>
    <numFmt numFmtId="168" formatCode="0.0000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333333"/>
      <sz val="9"/>
    </font>
    <font>
      <name val="Calibri"/>
      <b val="1"/>
      <sz val="10"/>
    </font>
    <font>
      <name val="Calibri"/>
      <b val="1"/>
      <sz val="9"/>
    </font>
    <font>
      <name val="Calibri"/>
      <b val="1"/>
      <color rgb="FFE65100"/>
      <sz val="9"/>
    </font>
    <font>
      <name val="Calibri"/>
      <b val="1"/>
      <color rgb="FF1B5E20"/>
      <sz val="9"/>
    </font>
    <font>
      <name val="Calibri"/>
      <b val="1"/>
      <color rgb="FFB71C1C"/>
      <sz val="9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sz val="13"/>
    </font>
    <font>
      <name val="Calibri"/>
      <sz val="10"/>
    </font>
    <font>
      <name val="Calibri"/>
      <b val="1"/>
      <sz val="11"/>
    </font>
  </fonts>
  <fills count="16">
    <fill>
      <patternFill/>
    </fill>
    <fill>
      <patternFill patternType="gray125"/>
    </fill>
    <fill>
      <patternFill patternType="solid">
        <fgColor rgb="FF1A6B3C"/>
      </patternFill>
    </fill>
    <fill>
      <patternFill patternType="solid">
        <fgColor rgb="FFEAF4EB"/>
      </patternFill>
    </fill>
    <fill>
      <patternFill patternType="solid">
        <fgColor rgb="FFB3DFC6"/>
      </patternFill>
    </fill>
    <fill>
      <patternFill patternType="solid">
        <fgColor rgb="FFB3D4F0"/>
      </patternFill>
    </fill>
    <fill>
      <patternFill patternType="solid">
        <fgColor rgb="FFD5E8D4"/>
      </patternFill>
    </fill>
    <fill>
      <patternFill patternType="solid">
        <fgColor rgb="FFFFE0B2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A5D6A7"/>
      </patternFill>
    </fill>
    <fill>
      <patternFill patternType="solid">
        <fgColor rgb="FFD6EAD8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2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/>
    </xf>
    <xf numFmtId="166" fontId="0" fillId="9" borderId="1" applyAlignment="1" pivotButton="0" quotePrefix="0" xfId="0">
      <alignment horizontal="center" vertical="center"/>
    </xf>
    <xf numFmtId="167" fontId="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8" fontId="0" fillId="9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2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/>
    </xf>
    <xf numFmtId="166" fontId="0" fillId="11" borderId="1" applyAlignment="1" pivotButton="0" quotePrefix="0" xfId="0">
      <alignment horizontal="center" vertical="center"/>
    </xf>
    <xf numFmtId="167" fontId="0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68" fontId="0" fillId="11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0" borderId="0" pivotButton="0" quotePrefix="0" xfId="0"/>
    <xf numFmtId="0" fontId="9" fillId="15" borderId="1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0" fontId="0" fillId="9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1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tabSelected="1" workbookViewId="0">
      <pane ySplit="4" topLeftCell="A5" activePane="bottomLeft" state="frozen"/>
      <selection pane="bottomLeft" activeCell="F15" sqref="F15"/>
    </sheetView>
  </sheetViews>
  <sheetFormatPr baseColWidth="8" defaultRowHeight="15"/>
  <cols>
    <col width="18" customWidth="1" style="34" min="1" max="1"/>
    <col width="9" customWidth="1" style="34" min="2" max="2"/>
    <col width="12" customWidth="1" style="34" min="3" max="3"/>
    <col width="13" customWidth="1" style="34" min="4" max="4"/>
    <col width="20" customWidth="1" style="34" min="5" max="5"/>
    <col width="9" customWidth="1" style="34" min="6" max="6"/>
    <col width="12" customWidth="1" style="34" min="7" max="7"/>
    <col width="13" customWidth="1" style="34" min="8" max="8"/>
    <col width="12" customWidth="1" style="34" min="9" max="9"/>
    <col width="38" customWidth="1" style="34" min="10" max="10"/>
    <col width="13" customWidth="1" style="34" min="11" max="11"/>
    <col width="12" customWidth="1" style="34" min="12" max="13"/>
    <col width="14" customWidth="1" style="34" min="14" max="14"/>
    <col width="12" customWidth="1" style="34" min="15" max="16"/>
    <col width="14" customWidth="1" style="34" min="17" max="17"/>
  </cols>
  <sheetData>
    <row r="1" ht="30" customHeight="1" s="34">
      <c r="A1" s="33" t="inlineStr">
        <is>
          <t>VMEK Cross-Machine Area Standardization Table  —  Plastic Kernel Reference</t>
        </is>
      </c>
    </row>
    <row r="2" ht="27.95" customHeight="1" s="34">
      <c r="A2" s="38" t="inlineStr">
        <is>
          <t>Physical Reference: mean of 6 caliper-measured plastic kernels  |  Ellipse Area = π/4 × L × W per kernel, mean = 82.2347 mm²  |  Correction Factor = Ref_Area / Mean_Area_mm²  →  Area_corrected_mm² = raw_px² × (px→mm)² × Correction Factor</t>
        </is>
      </c>
    </row>
    <row r="3" ht="18" customHeight="1" s="34">
      <c r="A3" s="36" t="inlineStr">
        <is>
          <t>Machine Identity</t>
        </is>
      </c>
      <c r="B3" s="42" t="n"/>
      <c r="C3" s="42" t="n"/>
      <c r="D3" s="42" t="n"/>
      <c r="E3" s="42" t="n"/>
      <c r="F3" s="42" t="n"/>
      <c r="G3" s="43" t="n"/>
      <c r="H3" s="40" t="inlineStr">
        <is>
          <t>Raw Pixel Data</t>
        </is>
      </c>
      <c r="I3" s="42" t="n"/>
      <c r="J3" s="43" t="n"/>
      <c r="K3" s="39" t="inlineStr">
        <is>
          <t>Converted to mm²</t>
        </is>
      </c>
      <c r="L3" s="42" t="n"/>
      <c r="M3" s="43" t="n"/>
      <c r="N3" s="35" t="inlineStr">
        <is>
          <t>Bias vs Physical Reference</t>
        </is>
      </c>
      <c r="O3" s="42" t="n"/>
      <c r="P3" s="43" t="n"/>
      <c r="Q3" s="37" t="inlineStr">
        <is>
          <t>Correction</t>
        </is>
      </c>
    </row>
    <row r="4" ht="38.1" customHeight="1" s="34">
      <c r="A4" s="1" t="inlineStr">
        <is>
          <t>Machine
Name</t>
        </is>
      </c>
      <c r="B4" s="1" t="inlineStr">
        <is>
          <t>Country</t>
        </is>
      </c>
      <c r="C4" s="1" t="inlineStr">
        <is>
          <t>Site /
APL</t>
        </is>
      </c>
      <c r="D4" s="1" t="inlineStr">
        <is>
          <t>VMEK
Model</t>
        </is>
      </c>
      <c r="E4" s="1" t="inlineStr">
        <is>
          <t>Camera</t>
        </is>
      </c>
      <c r="F4" s="1" t="inlineStr">
        <is>
          <t>px→mm
Factor</t>
        </is>
      </c>
      <c r="G4" s="1" t="inlineStr">
        <is>
          <t>N
(total runs)</t>
        </is>
      </c>
      <c r="H4" s="2" t="inlineStr">
        <is>
          <t>Mean
Area (px²)</t>
        </is>
      </c>
      <c r="I4" s="2" t="inlineStr">
        <is>
          <t>Std
Area (px²)</t>
        </is>
      </c>
      <c r="J4" s="2" t="inlineStr">
        <is>
          <t>Data Sources</t>
        </is>
      </c>
      <c r="K4" s="3" t="inlineStr">
        <is>
          <t>Mean
Area (mm²)</t>
        </is>
      </c>
      <c r="L4" s="3" t="inlineStr">
        <is>
          <t>Std
Area (mm²)</t>
        </is>
      </c>
      <c r="M4" s="3" t="inlineStr">
        <is>
          <t>Ref Area
(mm²)</t>
        </is>
      </c>
      <c r="N4" s="4" t="inlineStr">
        <is>
          <t>Δ from
Ref (mm²)</t>
        </is>
      </c>
      <c r="O4" s="4" t="inlineStr">
        <is>
          <t>Δ from
Ref (%)</t>
        </is>
      </c>
      <c r="P4" s="4" t="inlineStr">
        <is>
          <t>Bias
Flag</t>
        </is>
      </c>
      <c r="Q4" s="5" t="inlineStr">
        <is>
          <t>Correction
Factor</t>
        </is>
      </c>
    </row>
    <row r="5" ht="18" customHeight="1" s="34">
      <c r="A5" s="6" t="inlineStr">
        <is>
          <t>QL2020283</t>
        </is>
      </c>
      <c r="B5" s="6" t="inlineStr">
        <is>
          <t>USA</t>
        </is>
      </c>
      <c r="C5" s="6" t="inlineStr">
        <is>
          <t>Quality Lab283</t>
        </is>
      </c>
      <c r="D5" s="6" t="inlineStr">
        <is>
          <t>MTX–170–36</t>
        </is>
      </c>
      <c r="E5" s="6" t="inlineStr">
        <is>
          <t>Basler acA1300-60gc</t>
        </is>
      </c>
      <c r="F5" s="7" t="n">
        <v>0.332</v>
      </c>
      <c r="G5" s="6" t="n">
        <v>5293</v>
      </c>
      <c r="H5" s="8" t="n">
        <v>797.8200000000001</v>
      </c>
      <c r="I5" s="8" t="n">
        <v>139.55</v>
      </c>
      <c r="J5" s="9" t="inlineStr">
        <is>
          <t>QL2020283.csv</t>
        </is>
      </c>
      <c r="K5" s="10" t="n">
        <v>87.93940000000001</v>
      </c>
      <c r="L5" s="10" t="n">
        <v>15.3814</v>
      </c>
      <c r="M5" s="10" t="n">
        <v>82.2347</v>
      </c>
      <c r="N5" s="11" t="n">
        <v>5.7047</v>
      </c>
      <c r="O5" s="12" t="n">
        <v>6.94</v>
      </c>
      <c r="P5" s="13" t="inlineStr">
        <is>
          <t>— Monitor</t>
        </is>
      </c>
      <c r="Q5" s="14" t="n">
        <v>0.93513</v>
      </c>
    </row>
    <row r="6" ht="18" customHeight="1" s="34">
      <c r="A6" s="15" t="inlineStr">
        <is>
          <t>QL2019241</t>
        </is>
      </c>
      <c r="B6" s="15" t="inlineStr">
        <is>
          <t>USA</t>
        </is>
      </c>
      <c r="C6" s="15" t="inlineStr">
        <is>
          <t>Quality Lab241</t>
        </is>
      </c>
      <c r="D6" s="15" t="inlineStr">
        <is>
          <t>MTX–170–36</t>
        </is>
      </c>
      <c r="E6" s="15" t="inlineStr">
        <is>
          <t>Basler acA1300-60gc</t>
        </is>
      </c>
      <c r="F6" s="16" t="n">
        <v>0.332</v>
      </c>
      <c r="G6" s="15" t="n">
        <v>5204</v>
      </c>
      <c r="H6" s="17" t="n">
        <v>750</v>
      </c>
      <c r="I6" s="17" t="n">
        <v>86.44</v>
      </c>
      <c r="J6" s="18" t="inlineStr">
        <is>
          <t>QL2019241.csv</t>
        </is>
      </c>
      <c r="K6" s="19" t="n">
        <v>82.6679</v>
      </c>
      <c r="L6" s="19" t="n">
        <v>9.5275</v>
      </c>
      <c r="M6" s="19" t="n">
        <v>82.2347</v>
      </c>
      <c r="N6" s="20" t="n">
        <v>0.4331</v>
      </c>
      <c r="O6" s="21" t="n">
        <v>0.53</v>
      </c>
      <c r="P6" s="22" t="inlineStr">
        <is>
          <t>✓ Good</t>
        </is>
      </c>
      <c r="Q6" s="23" t="n">
        <v>0.99476</v>
      </c>
    </row>
    <row r="7" ht="18" customHeight="1" s="34">
      <c r="A7" s="6" t="inlineStr">
        <is>
          <t>APLCLGR02AL23</t>
        </is>
      </c>
      <c r="B7" s="6" t="inlineStr">
        <is>
          <t>Chile</t>
        </is>
      </c>
      <c r="C7" s="6" t="inlineStr">
        <is>
          <t>CLGR APL2</t>
        </is>
      </c>
      <c r="D7" s="6" t="inlineStr">
        <is>
          <t>MX3–170–36</t>
        </is>
      </c>
      <c r="E7" s="6" t="inlineStr">
        <is>
          <t>JAI GOX-2402C-PGE</t>
        </is>
      </c>
      <c r="F7" s="7" t="n">
        <v>0.279</v>
      </c>
      <c r="G7" s="6" t="n">
        <v>18330</v>
      </c>
      <c r="H7" s="8" t="n">
        <v>1027.24</v>
      </c>
      <c r="I7" s="8" t="n">
        <v>155.06</v>
      </c>
      <c r="J7" s="9" t="inlineStr">
        <is>
          <t>APLs Plastic corn data.xlsx</t>
        </is>
      </c>
      <c r="K7" s="10" t="n">
        <v>79.9611</v>
      </c>
      <c r="L7" s="10" t="n">
        <v>12.0701</v>
      </c>
      <c r="M7" s="10" t="n">
        <v>82.2347</v>
      </c>
      <c r="N7" s="11" t="n">
        <v>-2.2737</v>
      </c>
      <c r="O7" s="12" t="n">
        <v>-2.76</v>
      </c>
      <c r="P7" s="22" t="inlineStr">
        <is>
          <t>✓ Good</t>
        </is>
      </c>
      <c r="Q7" s="14" t="n">
        <v>1.02843</v>
      </c>
    </row>
    <row r="8" ht="18" customHeight="1" s="34">
      <c r="A8" s="15" t="inlineStr">
        <is>
          <t>APLMXPV01AL19</t>
        </is>
      </c>
      <c r="B8" s="15" t="inlineStr">
        <is>
          <t>Mexico</t>
        </is>
      </c>
      <c r="C8" s="15" t="inlineStr">
        <is>
          <t>MXPV APL1</t>
        </is>
      </c>
      <c r="D8" s="15" t="inlineStr">
        <is>
          <t>MX3–170–36</t>
        </is>
      </c>
      <c r="E8" s="15" t="inlineStr">
        <is>
          <t>JAI GOX-2402C-PGE</t>
        </is>
      </c>
      <c r="F8" s="16" t="n">
        <v>0.279</v>
      </c>
      <c r="G8" s="15" t="n">
        <v>18209</v>
      </c>
      <c r="H8" s="17" t="n">
        <v>920.22</v>
      </c>
      <c r="I8" s="17" t="n">
        <v>142.46</v>
      </c>
      <c r="J8" s="18" t="inlineStr">
        <is>
          <t>APLs Plastic corn data.xlsx</t>
        </is>
      </c>
      <c r="K8" s="19" t="n">
        <v>71.6306</v>
      </c>
      <c r="L8" s="19" t="n">
        <v>11.0896</v>
      </c>
      <c r="M8" s="19" t="n">
        <v>82.2347</v>
      </c>
      <c r="N8" s="20" t="n">
        <v>-10.6041</v>
      </c>
      <c r="O8" s="21" t="n">
        <v>-12.89</v>
      </c>
      <c r="P8" s="24" t="inlineStr">
        <is>
          <t>⚠ Review</t>
        </is>
      </c>
      <c r="Q8" s="23" t="n">
        <v>1.14804</v>
      </c>
    </row>
    <row r="9" ht="18" customHeight="1" s="34">
      <c r="A9" s="6" t="inlineStr">
        <is>
          <t>APLMXPV02AL21</t>
        </is>
      </c>
      <c r="B9" s="6" t="inlineStr">
        <is>
          <t>Mexico</t>
        </is>
      </c>
      <c r="C9" s="6" t="inlineStr">
        <is>
          <t>MXPV APL2</t>
        </is>
      </c>
      <c r="D9" s="6" t="inlineStr">
        <is>
          <t>MTX–170–36</t>
        </is>
      </c>
      <c r="E9" s="6" t="inlineStr">
        <is>
          <t>Basler acA1300-60gc</t>
        </is>
      </c>
      <c r="F9" s="7" t="n">
        <v>0.332</v>
      </c>
      <c r="G9" s="6" t="n">
        <v>18204</v>
      </c>
      <c r="H9" s="8" t="n">
        <v>685.55</v>
      </c>
      <c r="I9" s="8" t="n">
        <v>108.92</v>
      </c>
      <c r="J9" s="9" t="inlineStr">
        <is>
          <t>APLs Plastic corn data.xlsx</t>
        </is>
      </c>
      <c r="K9" s="10" t="n">
        <v>75.5645</v>
      </c>
      <c r="L9" s="10" t="n">
        <v>12.0054</v>
      </c>
      <c r="M9" s="10" t="n">
        <v>82.2347</v>
      </c>
      <c r="N9" s="11" t="n">
        <v>-6.6703</v>
      </c>
      <c r="O9" s="12" t="n">
        <v>-8.109999999999999</v>
      </c>
      <c r="P9" s="24" t="inlineStr">
        <is>
          <t>⚠ Review</t>
        </is>
      </c>
      <c r="Q9" s="14" t="n">
        <v>1.08827</v>
      </c>
    </row>
    <row r="10" ht="18" customHeight="1" s="34">
      <c r="A10" s="15" t="inlineStr">
        <is>
          <t>APLMXPV03AL23</t>
        </is>
      </c>
      <c r="B10" s="15" t="inlineStr">
        <is>
          <t>Mexico</t>
        </is>
      </c>
      <c r="C10" s="15" t="inlineStr">
        <is>
          <t>MXPV APL3</t>
        </is>
      </c>
      <c r="D10" s="15" t="inlineStr">
        <is>
          <t>MX3–170–36</t>
        </is>
      </c>
      <c r="E10" s="15" t="inlineStr">
        <is>
          <t>JAI GOX-2402C-PGE</t>
        </is>
      </c>
      <c r="F10" s="16" t="n">
        <v>0.279</v>
      </c>
      <c r="G10" s="15" t="n">
        <v>18252</v>
      </c>
      <c r="H10" s="17" t="n">
        <v>996.01</v>
      </c>
      <c r="I10" s="17" t="n">
        <v>145.63</v>
      </c>
      <c r="J10" s="18" t="inlineStr">
        <is>
          <t>APLs Plastic corn data.xlsx</t>
        </is>
      </c>
      <c r="K10" s="19" t="n">
        <v>77.5303</v>
      </c>
      <c r="L10" s="19" t="n">
        <v>11.336</v>
      </c>
      <c r="M10" s="19" t="n">
        <v>82.2347</v>
      </c>
      <c r="N10" s="20" t="n">
        <v>-4.7045</v>
      </c>
      <c r="O10" s="21" t="n">
        <v>-5.72</v>
      </c>
      <c r="P10" s="13" t="inlineStr">
        <is>
          <t>— Monitor</t>
        </is>
      </c>
      <c r="Q10" s="23" t="n">
        <v>1.06068</v>
      </c>
    </row>
    <row r="11" ht="18" customHeight="1" s="34">
      <c r="A11" s="6" t="inlineStr">
        <is>
          <t>APLPRSA01AL19</t>
        </is>
      </c>
      <c r="B11" s="6" t="inlineStr">
        <is>
          <t>USA</t>
        </is>
      </c>
      <c r="C11" s="6" t="inlineStr">
        <is>
          <t>PRSA APL1</t>
        </is>
      </c>
      <c r="D11" s="6" t="inlineStr">
        <is>
          <t>MTX–170–36</t>
        </is>
      </c>
      <c r="E11" s="6" t="inlineStr">
        <is>
          <t>Basler acA1300-60gc</t>
        </is>
      </c>
      <c r="F11" s="7" t="n">
        <v>0.332</v>
      </c>
      <c r="G11" s="6" t="n">
        <v>17935</v>
      </c>
      <c r="H11" s="8" t="n">
        <v>827.08</v>
      </c>
      <c r="I11" s="8" t="n">
        <v>120.94</v>
      </c>
      <c r="J11" s="9" t="inlineStr">
        <is>
          <t>APLs Plastic corn data.xlsx</t>
        </is>
      </c>
      <c r="K11" s="10" t="n">
        <v>91.1644</v>
      </c>
      <c r="L11" s="10" t="n">
        <v>13.3308</v>
      </c>
      <c r="M11" s="10" t="n">
        <v>82.2347</v>
      </c>
      <c r="N11" s="11" t="n">
        <v>8.929600000000001</v>
      </c>
      <c r="O11" s="12" t="n">
        <v>10.86</v>
      </c>
      <c r="P11" s="24" t="inlineStr">
        <is>
          <t>⚠ Review</t>
        </is>
      </c>
      <c r="Q11" s="14" t="n">
        <v>0.90205</v>
      </c>
    </row>
    <row r="12" ht="18" customHeight="1" s="34">
      <c r="A12" s="15" t="inlineStr">
        <is>
          <t>APLPRSA02AL23</t>
        </is>
      </c>
      <c r="B12" s="15" t="inlineStr">
        <is>
          <t>USA</t>
        </is>
      </c>
      <c r="C12" s="15" t="inlineStr">
        <is>
          <t>PRSA APL2</t>
        </is>
      </c>
      <c r="D12" s="15" t="inlineStr">
        <is>
          <t>MX3–170–36</t>
        </is>
      </c>
      <c r="E12" s="15" t="inlineStr">
        <is>
          <t>JAI GOX-2402C-PGE</t>
        </is>
      </c>
      <c r="F12" s="16" t="n">
        <v>0.279</v>
      </c>
      <c r="G12" s="15" t="n">
        <v>17269</v>
      </c>
      <c r="H12" s="17" t="n">
        <v>978.01</v>
      </c>
      <c r="I12" s="17" t="n">
        <v>119.33</v>
      </c>
      <c r="J12" s="18" t="inlineStr">
        <is>
          <t>APLs Plastic corn data.xlsx</t>
        </is>
      </c>
      <c r="K12" s="19" t="n">
        <v>76.1296</v>
      </c>
      <c r="L12" s="19" t="n">
        <v>9.288399999999999</v>
      </c>
      <c r="M12" s="19" t="n">
        <v>82.2347</v>
      </c>
      <c r="N12" s="20" t="n">
        <v>-6.1052</v>
      </c>
      <c r="O12" s="21" t="n">
        <v>-7.42</v>
      </c>
      <c r="P12" s="13" t="inlineStr">
        <is>
          <t>— Monitor</t>
        </is>
      </c>
      <c r="Q12" s="23" t="n">
        <v>1.08019</v>
      </c>
    </row>
    <row r="13" ht="18" customHeight="1" s="34">
      <c r="A13" s="6" t="inlineStr">
        <is>
          <t>APLUSSL01AL17</t>
        </is>
      </c>
      <c r="B13" s="6" t="inlineStr">
        <is>
          <t>USA</t>
        </is>
      </c>
      <c r="C13" s="6" t="inlineStr">
        <is>
          <t>USSL APL1</t>
        </is>
      </c>
      <c r="D13" s="6" t="inlineStr">
        <is>
          <t>MTX–170–36</t>
        </is>
      </c>
      <c r="E13" s="6" t="inlineStr">
        <is>
          <t>Basler acA1300-60gc</t>
        </is>
      </c>
      <c r="F13" s="7" t="n">
        <v>0.332</v>
      </c>
      <c r="G13" s="6" t="n">
        <v>34953</v>
      </c>
      <c r="H13" s="8" t="n">
        <v>812.14</v>
      </c>
      <c r="I13" s="8" t="n">
        <v>108.36</v>
      </c>
      <c r="J13" s="9" t="inlineStr">
        <is>
          <t>APLs + AP01 South 9.2025 + APLUSSL01AL17.csv (combined)</t>
        </is>
      </c>
      <c r="K13" s="10" t="n">
        <v>89.5177</v>
      </c>
      <c r="L13" s="10" t="n">
        <v>11.9434</v>
      </c>
      <c r="M13" s="10" t="n">
        <v>82.2347</v>
      </c>
      <c r="N13" s="11" t="n">
        <v>7.2829</v>
      </c>
      <c r="O13" s="12" t="n">
        <v>8.859999999999999</v>
      </c>
      <c r="P13" s="24" t="inlineStr">
        <is>
          <t>⚠ Review</t>
        </is>
      </c>
      <c r="Q13" s="14" t="n">
        <v>0.91864</v>
      </c>
    </row>
    <row r="14" ht="18" customHeight="1" s="34">
      <c r="A14" s="15" t="inlineStr">
        <is>
          <t>APLUSSL02AL19</t>
        </is>
      </c>
      <c r="B14" s="15" t="inlineStr">
        <is>
          <t>USA</t>
        </is>
      </c>
      <c r="C14" s="15" t="inlineStr">
        <is>
          <t>USSL APL2</t>
        </is>
      </c>
      <c r="D14" s="15" t="inlineStr">
        <is>
          <t>MTX–170–36</t>
        </is>
      </c>
      <c r="E14" s="15" t="inlineStr">
        <is>
          <t>Basler acA1300-60gc</t>
        </is>
      </c>
      <c r="F14" s="16" t="n">
        <v>0.332</v>
      </c>
      <c r="G14" s="15" t="n">
        <v>26393</v>
      </c>
      <c r="H14" s="17" t="n">
        <v>793.5</v>
      </c>
      <c r="I14" s="17" t="n">
        <v>87.79000000000001</v>
      </c>
      <c r="J14" s="18" t="inlineStr">
        <is>
          <t>APLs Plastic corn data.xlsx</t>
        </is>
      </c>
      <c r="K14" s="19" t="n">
        <v>87.46259999999999</v>
      </c>
      <c r="L14" s="19" t="n">
        <v>9.677099999999999</v>
      </c>
      <c r="M14" s="19" t="n">
        <v>82.2347</v>
      </c>
      <c r="N14" s="20" t="n">
        <v>5.2279</v>
      </c>
      <c r="O14" s="21" t="n">
        <v>6.36</v>
      </c>
      <c r="P14" s="13" t="inlineStr">
        <is>
          <t>— Monitor</t>
        </is>
      </c>
      <c r="Q14" s="23" t="n">
        <v>0.94023</v>
      </c>
    </row>
    <row r="15">
      <c r="A15" s="15" t="inlineStr">
        <is>
          <t>Elk Farm</t>
        </is>
      </c>
      <c r="B15" s="15" t="inlineStr">
        <is>
          <t>USA</t>
        </is>
      </c>
      <c r="C15" s="15" t="inlineStr">
        <is>
          <t>Elk Farm SPR</t>
        </is>
      </c>
      <c r="D15" s="15" t="inlineStr">
        <is>
          <t>MTX–170–36</t>
        </is>
      </c>
      <c r="E15" s="15" t="inlineStr">
        <is>
          <t>Basler acA1300-60gc</t>
        </is>
      </c>
      <c r="F15" s="16" t="n">
        <v>0.332</v>
      </c>
      <c r="G15" s="15" t="n">
        <v>5995</v>
      </c>
      <c r="H15" s="17" t="n">
        <v>685.03</v>
      </c>
      <c r="I15" s="17" t="n">
        <v>142.88</v>
      </c>
      <c r="J15" s="18" t="inlineStr">
        <is>
          <t>Elk farm fall 2025.csv</t>
        </is>
      </c>
      <c r="K15" s="19" t="n">
        <v>75.50660000000001</v>
      </c>
      <c r="L15" s="19" t="n">
        <v>15.7484</v>
      </c>
      <c r="M15" s="19" t="n">
        <v>82.2347</v>
      </c>
      <c r="N15" s="20" t="n">
        <v>-6.7281</v>
      </c>
      <c r="O15" s="21" t="n">
        <v>-8.18</v>
      </c>
      <c r="P15" s="44" t="inlineStr">
        <is>
          <t>⚠ Review</t>
        </is>
      </c>
      <c r="Q15" s="23" t="n">
        <v>1.08911</v>
      </c>
    </row>
  </sheetData>
  <mergeCells count="7">
    <mergeCell ref="A3:G3"/>
    <mergeCell ref="Q3"/>
    <mergeCell ref="A2:Q2"/>
    <mergeCell ref="K3:M3"/>
    <mergeCell ref="H3:J3"/>
    <mergeCell ref="A1:Q1"/>
    <mergeCell ref="N3:P3"/>
  </mergeCells>
  <conditionalFormatting sqref="O5:O14">
    <cfRule type="colorScale" priority="1">
      <colorScale>
        <cfvo type="min"/>
        <cfvo type="num" val="0"/>
        <cfvo type="max"/>
        <color rgb="FFFF5252"/>
        <color rgb="FFFFFFFF"/>
        <color rgb="FF4CAF50"/>
      </colorScale>
    </cfRule>
  </conditionalFormatting>
  <conditionalFormatting sqref="Q5:Q14">
    <cfRule type="colorScale" priority="2">
      <colorScale>
        <cfvo type="min"/>
        <cfvo type="num" val="1"/>
        <cfvo type="max"/>
        <color rgb="FFFF9800"/>
        <color rgb="FFFFFFFF"/>
        <color rgb="FF2196F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:E1"/>
    </sheetView>
  </sheetViews>
  <sheetFormatPr baseColWidth="8" defaultRowHeight="15"/>
  <cols>
    <col width="8" customWidth="1" style="34" min="1" max="1"/>
    <col width="13" customWidth="1" style="34" min="2" max="2"/>
    <col width="12" customWidth="1" style="34" min="3" max="3"/>
    <col width="13" customWidth="1" style="34" min="4" max="4"/>
    <col width="18" customWidth="1" style="34" min="5" max="5"/>
  </cols>
  <sheetData>
    <row r="1" ht="24" customHeight="1" s="34">
      <c r="A1" s="41" t="inlineStr">
        <is>
          <t>Physical Plastic Kernel Measurements (Caliper)</t>
        </is>
      </c>
    </row>
    <row r="2">
      <c r="A2" s="25" t="inlineStr">
        <is>
          <t>Kernel</t>
        </is>
      </c>
      <c r="B2" s="25" t="inlineStr">
        <is>
          <t>Length (mm)</t>
        </is>
      </c>
      <c r="C2" s="25" t="inlineStr">
        <is>
          <t>Width (mm)</t>
        </is>
      </c>
      <c r="D2" s="25" t="inlineStr">
        <is>
          <t>Height (mm)</t>
        </is>
      </c>
      <c r="E2" s="25" t="inlineStr">
        <is>
          <t>Ellipse Area (mm²)</t>
        </is>
      </c>
    </row>
    <row r="3">
      <c r="A3" s="26" t="n">
        <v>1</v>
      </c>
      <c r="B3" s="26" t="n">
        <v>11.2</v>
      </c>
      <c r="C3" s="26" t="n">
        <v>9.43</v>
      </c>
      <c r="D3" s="26" t="n">
        <v>5.87</v>
      </c>
      <c r="E3" s="26" t="n">
        <v>82.95059999999999</v>
      </c>
    </row>
    <row r="4">
      <c r="A4" s="26" t="n">
        <v>2</v>
      </c>
      <c r="B4" s="26" t="n">
        <v>10.88</v>
      </c>
      <c r="C4" s="26" t="n">
        <v>9.76</v>
      </c>
      <c r="D4" s="26" t="n">
        <v>5.72</v>
      </c>
      <c r="E4" s="26" t="n">
        <v>83.40049999999999</v>
      </c>
    </row>
    <row r="5">
      <c r="A5" s="26" t="n">
        <v>3</v>
      </c>
      <c r="B5" s="26" t="n">
        <v>10.7</v>
      </c>
      <c r="C5" s="26" t="n">
        <v>9.4</v>
      </c>
      <c r="D5" s="26" t="n">
        <v>5.88</v>
      </c>
      <c r="E5" s="26" t="n">
        <v>78.9953</v>
      </c>
    </row>
    <row r="6">
      <c r="A6" s="26" t="n">
        <v>4</v>
      </c>
      <c r="B6" s="26" t="n">
        <v>10.92</v>
      </c>
      <c r="C6" s="26" t="n">
        <v>9.630000000000001</v>
      </c>
      <c r="D6" s="26" t="n">
        <v>5.81</v>
      </c>
      <c r="E6" s="26" t="n">
        <v>82.59220000000001</v>
      </c>
    </row>
    <row r="7">
      <c r="A7" s="26" t="n">
        <v>5</v>
      </c>
      <c r="B7" s="26" t="n">
        <v>10.71</v>
      </c>
      <c r="C7" s="26" t="n">
        <v>9.77</v>
      </c>
      <c r="D7" s="26" t="n">
        <v>5.82</v>
      </c>
      <c r="E7" s="26" t="n">
        <v>82.1815</v>
      </c>
    </row>
    <row r="8">
      <c r="A8" s="26" t="n">
        <v>6</v>
      </c>
      <c r="B8" s="26" t="n">
        <v>10.81</v>
      </c>
      <c r="C8" s="26" t="n">
        <v>9.81</v>
      </c>
      <c r="D8" s="26" t="n">
        <v>5.68</v>
      </c>
      <c r="E8" s="26" t="n">
        <v>83.2884</v>
      </c>
    </row>
    <row r="9">
      <c r="A9" s="27" t="inlineStr">
        <is>
          <t>Mean</t>
        </is>
      </c>
      <c r="B9" s="28" t="n">
        <v>10.87</v>
      </c>
      <c r="C9" s="28" t="n">
        <v>9.6333</v>
      </c>
      <c r="D9" s="28" t="n">
        <v>5.7967</v>
      </c>
      <c r="E9" s="28" t="n">
        <v>82.2347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5" customWidth="1" style="34" min="1" max="1"/>
  </cols>
  <sheetData>
    <row r="1" ht="17.25" customHeight="1" s="34">
      <c r="A1" s="29" t="inlineStr">
        <is>
          <t>VMEK Plastic Kernel Standardization — Methodology</t>
        </is>
      </c>
    </row>
    <row r="2">
      <c r="A2" s="30" t="n"/>
    </row>
    <row r="3">
      <c r="A3" s="31" t="inlineStr">
        <is>
          <t>Physical Reference</t>
        </is>
      </c>
    </row>
    <row r="4">
      <c r="A4" s="30" t="inlineStr">
        <is>
          <t xml:space="preserve">  • 6 plastic corn kernels individually measured with calipers (Length, Width, Height)</t>
        </is>
      </c>
    </row>
    <row r="5">
      <c r="A5" s="30" t="inlineStr">
        <is>
          <t xml:space="preserve">  • Per-kernel ellipse area: π/4 × Length × Width</t>
        </is>
      </c>
    </row>
    <row r="6">
      <c r="A6" s="30" t="inlineStr">
        <is>
          <t xml:space="preserve">  • Reference = mean of 6 per-kernel ellipse areas = 82.2347 mm²</t>
        </is>
      </c>
    </row>
    <row r="7">
      <c r="A7" s="30" t="n"/>
    </row>
    <row r="8">
      <c r="A8" s="31" t="inlineStr">
        <is>
          <t>Machine Data</t>
        </is>
      </c>
    </row>
    <row r="9">
      <c r="A9" s="30" t="inlineStr">
        <is>
          <t xml:space="preserve">  • All rows used — no filtering on Status, Ejected, or MatID</t>
        </is>
      </c>
    </row>
    <row r="10">
      <c r="A10" s="30" t="inlineStr">
        <is>
          <t xml:space="preserve">  • Status / Ejected reflect local recipe decisions, not kernel measurement quality</t>
        </is>
      </c>
    </row>
    <row r="11">
      <c r="A11" s="30" t="inlineStr">
        <is>
          <t xml:space="preserve">  • MatID labels are placeholder identifiers used during plastic kernel runs, not biologically meaningful</t>
        </is>
      </c>
    </row>
    <row r="12">
      <c r="A12" s="30" t="inlineStr">
        <is>
          <t xml:space="preserve">  • APLUSSL01AL17 combines 3 separate plastic kernel run files (N=34,953) for largest sample size</t>
        </is>
      </c>
    </row>
    <row r="13">
      <c r="A13" t="inlineStr">
        <is>
          <t xml:space="preserve">  • Elk Farm source file exports Area directly in mm²; raw pixel columns are px²-equivalent back-calculated as Area_mm² / (0.332²) to preserve table comparability.</t>
        </is>
      </c>
    </row>
    <row r="14">
      <c r="A14" s="30" t="n"/>
    </row>
    <row r="15">
      <c r="A15" s="31" t="inlineStr">
        <is>
          <t>Correction Factor</t>
        </is>
      </c>
    </row>
    <row r="16">
      <c r="A16" s="30" t="inlineStr">
        <is>
          <t xml:space="preserve">  • Mean_Area_mm² = Mean_Area_px² × (px→mm factor)²</t>
        </is>
      </c>
    </row>
    <row r="17">
      <c r="A17" s="30" t="inlineStr">
        <is>
          <t xml:space="preserve">  • Correction Factor = Ref_Area_mm² / Mean_Area_mm²</t>
        </is>
      </c>
    </row>
    <row r="18">
      <c r="A18" s="30" t="inlineStr">
        <is>
          <t xml:space="preserve">  • Applied: Area_corrected_mm² = raw_px² × (px→mm)² × Correction Factor</t>
        </is>
      </c>
    </row>
    <row r="19">
      <c r="A19" s="30" t="inlineStr">
        <is>
          <t xml:space="preserve">  • Single multiplicative scalar — valid when bias is consistent across the kernel size range</t>
        </is>
      </c>
    </row>
    <row r="20">
      <c r="A20" s="30" t="n"/>
    </row>
    <row r="21">
      <c r="A21" s="31" t="inlineStr">
        <is>
          <t>Camera px→mm Factors (machine spec)</t>
        </is>
      </c>
    </row>
    <row r="22">
      <c r="A22" s="30" t="inlineStr">
        <is>
          <t xml:space="preserve">  • MTX–170–36 + Basler acA1300-60gc  →  1 px = 0.332 mm</t>
        </is>
      </c>
    </row>
    <row r="23">
      <c r="A23" s="30" t="inlineStr">
        <is>
          <t xml:space="preserve">  • MX3–170–36 + JAI GOX-2402C-PGE   →  1 px = 0.279 mm</t>
        </is>
      </c>
    </row>
    <row r="24">
      <c r="A24" s="30" t="n"/>
    </row>
    <row r="25">
      <c r="A25" s="31" t="inlineStr">
        <is>
          <t>Bias Flag Thresholds</t>
        </is>
      </c>
    </row>
    <row r="26">
      <c r="A26" s="30" t="inlineStr">
        <is>
          <t xml:space="preserve">  • ✓ Good    : |Δ%| ≤ 3%  — minor adjustment, correction reliable</t>
        </is>
      </c>
    </row>
    <row r="27">
      <c r="A27" s="30" t="inlineStr">
        <is>
          <t xml:space="preserve">  • — Monitor : |Δ%| 3–8%  — moderate bias, recommend re-run to confirm</t>
        </is>
      </c>
    </row>
    <row r="28">
      <c r="A28" s="30" t="inlineStr">
        <is>
          <t xml:space="preserve">  • ⚠ Review  : |Δ%| &gt; 8%  — large bias, investigate camera calibration or sort mode</t>
        </is>
      </c>
    </row>
    <row r="29">
      <c r="A29" t="inlineStr"/>
    </row>
    <row r="30">
      <c r="A30" t="inlineStr">
        <is>
          <t>Application Lookup Rule</t>
        </is>
      </c>
    </row>
    <row r="31">
      <c r="A31" t="inlineStr">
        <is>
          <t xml:space="preserve">  • Site / APL is the application machine lookup key; Quality Lab entries are disambiguated as Quality Lab283 and Quality Lab241.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2026-04-20T15:09:54Z</dcterms:created>
  <dcterms:modified xmlns:dcterms="http://purl.org/dc/terms/" xmlns:xsi="http://www.w3.org/2001/XMLSchema-instance" xsi:type="dcterms:W3CDTF">2026-07-08T19:40:36Z</dcterms:modified>
  <cp:lastModifiedBy>Zimmerman Stephen USSL</cp:lastModifiedBy>
</cp:coreProperties>
</file>